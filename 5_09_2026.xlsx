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otaz\Videos\DMT\Barra_DMT\"/>
    </mc:Choice>
  </mc:AlternateContent>
  <xr:revisionPtr revIDLastSave="0" documentId="13_ncr:1_{B18AE043-CFF9-493D-99E1-616FBA90F05A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Anali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K21" i="1" s="1"/>
  <c r="L21" i="1" s="1"/>
  <c r="E21" i="1"/>
  <c r="G21" i="1" s="1"/>
  <c r="F20" i="1"/>
  <c r="K20" i="1" s="1"/>
  <c r="L20" i="1" s="1"/>
  <c r="E20" i="1"/>
  <c r="F19" i="1"/>
  <c r="K19" i="1" s="1"/>
  <c r="L19" i="1" s="1"/>
  <c r="E19" i="1"/>
  <c r="G19" i="1" s="1"/>
  <c r="F18" i="1"/>
  <c r="K18" i="1" s="1"/>
  <c r="L18" i="1" s="1"/>
  <c r="E18" i="1"/>
  <c r="F17" i="1"/>
  <c r="K17" i="1" s="1"/>
  <c r="L17" i="1" s="1"/>
  <c r="E17" i="1"/>
  <c r="G17" i="1" s="1"/>
  <c r="F16" i="1"/>
  <c r="K16" i="1" s="1"/>
  <c r="L16" i="1" s="1"/>
  <c r="E16" i="1"/>
  <c r="F15" i="1"/>
  <c r="K15" i="1" s="1"/>
  <c r="L15" i="1" s="1"/>
  <c r="E15" i="1"/>
  <c r="G15" i="1" s="1"/>
  <c r="F14" i="1"/>
  <c r="K14" i="1" s="1"/>
  <c r="L14" i="1" s="1"/>
  <c r="E14" i="1"/>
  <c r="F13" i="1"/>
  <c r="K13" i="1" s="1"/>
  <c r="L13" i="1" s="1"/>
  <c r="E13" i="1"/>
  <c r="G13" i="1" s="1"/>
  <c r="F12" i="1"/>
  <c r="K12" i="1" s="1"/>
  <c r="L12" i="1" s="1"/>
  <c r="E12" i="1"/>
  <c r="F11" i="1"/>
  <c r="K11" i="1" s="1"/>
  <c r="L11" i="1" s="1"/>
  <c r="E11" i="1"/>
  <c r="G11" i="1" s="1"/>
  <c r="K10" i="1"/>
  <c r="L10" i="1" s="1"/>
  <c r="E10" i="1"/>
  <c r="F9" i="1"/>
  <c r="K9" i="1" s="1"/>
  <c r="L9" i="1" s="1"/>
  <c r="E9" i="1"/>
  <c r="G9" i="1" s="1"/>
  <c r="F8" i="1"/>
  <c r="K8" i="1" s="1"/>
  <c r="L8" i="1" s="1"/>
  <c r="E8" i="1"/>
  <c r="F7" i="1"/>
  <c r="K7" i="1" s="1"/>
  <c r="L7" i="1" s="1"/>
  <c r="E7" i="1"/>
  <c r="G7" i="1" s="1"/>
  <c r="F6" i="1"/>
  <c r="K6" i="1" s="1"/>
  <c r="L6" i="1" s="1"/>
  <c r="E6" i="1"/>
  <c r="F5" i="1"/>
  <c r="F22" i="1" s="1"/>
  <c r="D31" i="1" s="1"/>
  <c r="E5" i="1"/>
  <c r="G5" i="1" s="1"/>
  <c r="M14" i="1" l="1"/>
  <c r="J15" i="1"/>
  <c r="I15" i="1"/>
  <c r="J5" i="1"/>
  <c r="I5" i="1"/>
  <c r="M6" i="1"/>
  <c r="M16" i="1"/>
  <c r="J13" i="1"/>
  <c r="I13" i="1"/>
  <c r="J17" i="1"/>
  <c r="I17" i="1"/>
  <c r="J9" i="1"/>
  <c r="I9" i="1"/>
  <c r="M18" i="1"/>
  <c r="J7" i="1"/>
  <c r="I7" i="1"/>
  <c r="M8" i="1"/>
  <c r="M10" i="1"/>
  <c r="J19" i="1"/>
  <c r="I19" i="1"/>
  <c r="M12" i="1"/>
  <c r="J21" i="1"/>
  <c r="I21" i="1"/>
  <c r="J11" i="1"/>
  <c r="I11" i="1"/>
  <c r="K5" i="1"/>
  <c r="M5" i="1"/>
  <c r="M7" i="1"/>
  <c r="M9" i="1"/>
  <c r="M11" i="1"/>
  <c r="M13" i="1"/>
  <c r="M15" i="1"/>
  <c r="M17" i="1"/>
  <c r="M19" i="1"/>
  <c r="E22" i="1"/>
  <c r="D26" i="1" s="1"/>
  <c r="G6" i="1"/>
  <c r="G8" i="1"/>
  <c r="G10" i="1"/>
  <c r="G12" i="1"/>
  <c r="G14" i="1"/>
  <c r="G16" i="1"/>
  <c r="G18" i="1"/>
  <c r="G20" i="1"/>
  <c r="J20" i="1" l="1"/>
  <c r="I20" i="1"/>
  <c r="J18" i="1"/>
  <c r="I18" i="1"/>
  <c r="J16" i="1"/>
  <c r="I16" i="1"/>
  <c r="K22" i="1"/>
  <c r="L5" i="1"/>
  <c r="J14" i="1"/>
  <c r="I14" i="1"/>
  <c r="J12" i="1"/>
  <c r="I12" i="1"/>
  <c r="J10" i="1"/>
  <c r="I10" i="1"/>
  <c r="D32" i="1" s="1"/>
  <c r="J8" i="1"/>
  <c r="I8" i="1"/>
  <c r="J6" i="1"/>
  <c r="I6" i="1"/>
  <c r="M20" i="1"/>
  <c r="M21" i="1"/>
  <c r="M22" i="1" s="1"/>
  <c r="D33" i="1" l="1"/>
  <c r="L22" i="1"/>
  <c r="D27" i="1"/>
  <c r="I22" i="1"/>
  <c r="D29" i="1" s="1"/>
  <c r="D30" i="1" l="1"/>
  <c r="D28" i="1"/>
</calcChain>
</file>

<file path=xl/sharedStrings.xml><?xml version="1.0" encoding="utf-8"?>
<sst xmlns="http://schemas.openxmlformats.org/spreadsheetml/2006/main" count="42" uniqueCount="42">
  <si>
    <t>BARRA DMT — ANÁLISIS DE INVENTARIO Y RENTABILIDAD</t>
  </si>
  <si>
    <t>Actualizado: 05/09/2026  |  Celdas en azul = editable (costo, unidades por paca, stock, precio de venta)</t>
  </si>
  <si>
    <t>Producto</t>
  </si>
  <si>
    <t>Costo x Paca</t>
  </si>
  <si>
    <t>Unid. x Paca</t>
  </si>
  <si>
    <t>Pacas en Stock</t>
  </si>
  <si>
    <t>Inversión Total</t>
  </si>
  <si>
    <t>Unidades Totales</t>
  </si>
  <si>
    <t>Costo Unitario</t>
  </si>
  <si>
    <t>Precio Venta Unid.</t>
  </si>
  <si>
    <t>Margen %</t>
  </si>
  <si>
    <t>Ganancia x Unidad</t>
  </si>
  <si>
    <t>Ingreso Total Esp.</t>
  </si>
  <si>
    <t>Ganancia Total Esp.</t>
  </si>
  <si>
    <t>% del Stock (valor)</t>
  </si>
  <si>
    <t>Gatorade</t>
  </si>
  <si>
    <t>Electrolit</t>
  </si>
  <si>
    <t>Aguila</t>
  </si>
  <si>
    <t>Club Colombia</t>
  </si>
  <si>
    <t>Coronita</t>
  </si>
  <si>
    <t>Smirnoff Botella</t>
  </si>
  <si>
    <t>Red Bull</t>
  </si>
  <si>
    <t>Amper</t>
  </si>
  <si>
    <t>Smirnoff en Lata</t>
  </si>
  <si>
    <t>Aguardiente Antioqueño</t>
  </si>
  <si>
    <t>Ron Media</t>
  </si>
  <si>
    <t>Four Loko</t>
  </si>
  <si>
    <t>Tequila Olmeca</t>
  </si>
  <si>
    <t>Tequila Jimador</t>
  </si>
  <si>
    <t>Stella</t>
  </si>
  <si>
    <t>Buchanan's</t>
  </si>
  <si>
    <t>Agua</t>
  </si>
  <si>
    <t>TOTAL</t>
  </si>
  <si>
    <t>RESUMEN EJECUTIVO</t>
  </si>
  <si>
    <t>Inversión total (costo inventario)</t>
  </si>
  <si>
    <t>Ingreso total esperado (venta 100% stock)</t>
  </si>
  <si>
    <t>Ganancia total estimada</t>
  </si>
  <si>
    <t>Margen de ganancia promedio</t>
  </si>
  <si>
    <t>ROI estimado (ganancia / inversión)</t>
  </si>
  <si>
    <t>Unidades totales en stock</t>
  </si>
  <si>
    <t>Producto más rentable (margen %)</t>
  </si>
  <si>
    <t>Producto de mayor ganancia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</si>
</sst>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&quot;-&quot;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2"/>
      <color rgb="FF1F4E7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0" fontId="7" fillId="0" borderId="0" xfId="0" applyFont="1"/>
    <xf numFmtId="0" fontId="0" fillId="0" borderId="0" xfId="0"/>
    <xf numFmtId="0" fontId="4" fillId="0" borderId="0" xfId="0" applyFont="1"/>
    <xf numFmtId="3" fontId="6" fillId="4" borderId="1" xfId="0" applyNumberFormat="1" applyFont="1" applyFill="1" applyBorder="1" applyAlignment="1">
      <alignment horizontal="center"/>
    </xf>
    <xf numFmtId="0" fontId="0" fillId="0" borderId="2" xfId="0" applyBorder="1"/>
    <xf numFmtId="164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0" borderId="0" xfId="0" applyFont="1"/>
    <xf numFmtId="165" fontId="6" fillId="4" borderId="1" xfId="0" applyNumberFormat="1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Ganancia Total Estimada por Producto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Analisis!$L$4</c:f>
              <c:strCache>
                <c:ptCount val="1"/>
                <c:pt idx="0">
                  <c:v>Ganancia Total Esp.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Analisis!$A$5:$A$21</c:f>
              <c:strCache>
                <c:ptCount val="17"/>
                <c:pt idx="0">
                  <c:v>Gatorade</c:v>
                </c:pt>
                <c:pt idx="1">
                  <c:v>Electrolit</c:v>
                </c:pt>
                <c:pt idx="2">
                  <c:v>Aguila</c:v>
                </c:pt>
                <c:pt idx="3">
                  <c:v>Club Colombia</c:v>
                </c:pt>
                <c:pt idx="4">
                  <c:v>Coronita</c:v>
                </c:pt>
                <c:pt idx="5">
                  <c:v>Smirnoff Botella</c:v>
                </c:pt>
                <c:pt idx="6">
                  <c:v>Red Bull</c:v>
                </c:pt>
                <c:pt idx="7">
                  <c:v>Amper</c:v>
                </c:pt>
                <c:pt idx="8">
                  <c:v>Smirnoff en Lata</c:v>
                </c:pt>
                <c:pt idx="9">
                  <c:v>Aguardiente Antioqueño</c:v>
                </c:pt>
                <c:pt idx="10">
                  <c:v>Ron Media</c:v>
                </c:pt>
                <c:pt idx="11">
                  <c:v>Four Loko</c:v>
                </c:pt>
                <c:pt idx="12">
                  <c:v>Tequila Olmeca</c:v>
                </c:pt>
                <c:pt idx="13">
                  <c:v>Tequila Jimador</c:v>
                </c:pt>
                <c:pt idx="14">
                  <c:v>Stella</c:v>
                </c:pt>
                <c:pt idx="15">
                  <c:v>Buchanan's</c:v>
                </c:pt>
                <c:pt idx="16">
                  <c:v>Agua</c:v>
                </c:pt>
              </c:strCache>
            </c:strRef>
          </c:cat>
          <c:val>
            <c:numRef>
              <c:f>Analisis!$L$5:$L$21</c:f>
              <c:numCache>
                <c:formatCode>\$#,##0;\(\$#,##0\);"-"</c:formatCode>
                <c:ptCount val="17"/>
                <c:pt idx="0">
                  <c:v>2622000</c:v>
                </c:pt>
                <c:pt idx="1">
                  <c:v>620000</c:v>
                </c:pt>
                <c:pt idx="2">
                  <c:v>660000</c:v>
                </c:pt>
                <c:pt idx="3">
                  <c:v>160000</c:v>
                </c:pt>
                <c:pt idx="4">
                  <c:v>825000</c:v>
                </c:pt>
                <c:pt idx="5">
                  <c:v>-2240000</c:v>
                </c:pt>
                <c:pt idx="6">
                  <c:v>210000</c:v>
                </c:pt>
                <c:pt idx="7">
                  <c:v>172000</c:v>
                </c:pt>
                <c:pt idx="8">
                  <c:v>190000</c:v>
                </c:pt>
                <c:pt idx="9">
                  <c:v>70000</c:v>
                </c:pt>
                <c:pt idx="10">
                  <c:v>56000</c:v>
                </c:pt>
                <c:pt idx="11">
                  <c:v>1148000</c:v>
                </c:pt>
                <c:pt idx="12">
                  <c:v>170000</c:v>
                </c:pt>
                <c:pt idx="13">
                  <c:v>170000</c:v>
                </c:pt>
                <c:pt idx="14">
                  <c:v>145000</c:v>
                </c:pt>
                <c:pt idx="15">
                  <c:v>300000</c:v>
                </c:pt>
                <c:pt idx="16">
                  <c:v>4104000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D-49F5-8BF9-F10EA9F1AFE6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Producto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Ganancia ($)</a:t>
                </a:r>
              </a:p>
            </c:rich>
          </c:tx>
          <c:overlay val="1"/>
        </c:title>
        <c:numFmt formatCode="\$#,##0;\(\$#,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showGridLines="0" tabSelected="1" workbookViewId="0">
      <pane ySplit="4" topLeftCell="A5" activePane="bottomLeft" state="frozen"/>
      <selection pane="bottomLeft" activeCell="H21" sqref="H21"/>
    </sheetView>
  </sheetViews>
  <sheetFormatPr baseColWidth="10" defaultColWidth="8.796875" defaultRowHeight="14.4" x14ac:dyDescent="0.3"/>
  <cols>
    <col min="1" max="1" width="22" customWidth="1"/>
    <col min="2" max="2" width="13" customWidth="1"/>
    <col min="3" max="3" width="12" customWidth="1"/>
    <col min="4" max="4" width="13" customWidth="1"/>
    <col min="5" max="6" width="15" customWidth="1"/>
    <col min="7" max="7" width="13" customWidth="1"/>
    <col min="8" max="8" width="15" customWidth="1"/>
    <col min="9" max="9" width="10" customWidth="1"/>
    <col min="10" max="10" width="14" customWidth="1"/>
    <col min="11" max="11" width="15" customWidth="1"/>
    <col min="12" max="12" width="16" customWidth="1"/>
    <col min="13" max="13" width="12" customWidth="1"/>
  </cols>
  <sheetData>
    <row r="1" spans="1:13" ht="17.850000000000001" x14ac:dyDescent="0.35">
      <c r="A1" s="20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22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25.3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x14ac:dyDescent="0.3">
      <c r="A5" s="2" t="s">
        <v>15</v>
      </c>
      <c r="B5" s="3">
        <v>42000</v>
      </c>
      <c r="C5" s="4">
        <v>12</v>
      </c>
      <c r="D5" s="4">
        <v>19</v>
      </c>
      <c r="E5" s="5">
        <f t="shared" ref="E5:E21" si="0">B5*D5</f>
        <v>798000</v>
      </c>
      <c r="F5" s="6">
        <f t="shared" ref="F5:F21" si="1">C5*D5</f>
        <v>228</v>
      </c>
      <c r="G5" s="5">
        <f t="shared" ref="G5:G21" si="2">IFERROR(E5/F5,0)</f>
        <v>3500</v>
      </c>
      <c r="H5" s="3">
        <v>15000</v>
      </c>
      <c r="I5" s="7">
        <f t="shared" ref="I5:I21" si="3">IFERROR((H5-G5)/H5,0)</f>
        <v>0.76666666666666672</v>
      </c>
      <c r="J5" s="5">
        <f t="shared" ref="J5:J21" si="4">H5-G5</f>
        <v>11500</v>
      </c>
      <c r="K5" s="5">
        <f t="shared" ref="K5:K21" si="5">H5*F5</f>
        <v>3420000</v>
      </c>
      <c r="L5" s="5">
        <f t="shared" ref="L5:L21" si="6">K5-E5</f>
        <v>2622000</v>
      </c>
      <c r="M5" s="7">
        <f t="shared" ref="M5:M21" si="7">IFERROR(E5/$E$22,0)</f>
        <v>0.12690839694656489</v>
      </c>
    </row>
    <row r="6" spans="1:13" x14ac:dyDescent="0.3">
      <c r="A6" s="2" t="s">
        <v>16</v>
      </c>
      <c r="B6" s="3">
        <v>85000</v>
      </c>
      <c r="C6" s="4">
        <v>12</v>
      </c>
      <c r="D6" s="4">
        <v>4</v>
      </c>
      <c r="E6" s="5">
        <f t="shared" si="0"/>
        <v>340000</v>
      </c>
      <c r="F6" s="6">
        <f t="shared" si="1"/>
        <v>48</v>
      </c>
      <c r="G6" s="5">
        <f t="shared" si="2"/>
        <v>7083.333333333333</v>
      </c>
      <c r="H6" s="3">
        <v>20000</v>
      </c>
      <c r="I6" s="7">
        <f t="shared" si="3"/>
        <v>0.64583333333333337</v>
      </c>
      <c r="J6" s="5">
        <f t="shared" si="4"/>
        <v>12916.666666666668</v>
      </c>
      <c r="K6" s="5">
        <f t="shared" si="5"/>
        <v>960000</v>
      </c>
      <c r="L6" s="5">
        <f t="shared" si="6"/>
        <v>620000</v>
      </c>
      <c r="M6" s="7">
        <f t="shared" si="7"/>
        <v>5.407124681933842E-2</v>
      </c>
    </row>
    <row r="7" spans="1:13" x14ac:dyDescent="0.3">
      <c r="A7" s="2" t="s">
        <v>17</v>
      </c>
      <c r="B7" s="3">
        <v>75000</v>
      </c>
      <c r="C7" s="4">
        <v>24</v>
      </c>
      <c r="D7" s="4">
        <v>4</v>
      </c>
      <c r="E7" s="5">
        <f t="shared" si="0"/>
        <v>300000</v>
      </c>
      <c r="F7" s="6">
        <f t="shared" si="1"/>
        <v>96</v>
      </c>
      <c r="G7" s="5">
        <f t="shared" si="2"/>
        <v>3125</v>
      </c>
      <c r="H7" s="3">
        <v>10000</v>
      </c>
      <c r="I7" s="7">
        <f t="shared" si="3"/>
        <v>0.6875</v>
      </c>
      <c r="J7" s="5">
        <f t="shared" si="4"/>
        <v>6875</v>
      </c>
      <c r="K7" s="5">
        <f t="shared" si="5"/>
        <v>960000</v>
      </c>
      <c r="L7" s="5">
        <f t="shared" si="6"/>
        <v>660000</v>
      </c>
      <c r="M7" s="7">
        <f t="shared" si="7"/>
        <v>4.7709923664122141E-2</v>
      </c>
    </row>
    <row r="8" spans="1:13" x14ac:dyDescent="0.3">
      <c r="A8" s="2" t="s">
        <v>18</v>
      </c>
      <c r="B8" s="3">
        <v>80000</v>
      </c>
      <c r="C8" s="4">
        <v>24</v>
      </c>
      <c r="D8" s="4">
        <v>1</v>
      </c>
      <c r="E8" s="5">
        <f t="shared" si="0"/>
        <v>80000</v>
      </c>
      <c r="F8" s="6">
        <f t="shared" si="1"/>
        <v>24</v>
      </c>
      <c r="G8" s="5">
        <f t="shared" si="2"/>
        <v>3333.3333333333335</v>
      </c>
      <c r="H8" s="3">
        <v>10000</v>
      </c>
      <c r="I8" s="7">
        <f t="shared" si="3"/>
        <v>0.66666666666666663</v>
      </c>
      <c r="J8" s="5">
        <f t="shared" si="4"/>
        <v>6666.6666666666661</v>
      </c>
      <c r="K8" s="5">
        <f t="shared" si="5"/>
        <v>240000</v>
      </c>
      <c r="L8" s="5">
        <f t="shared" si="6"/>
        <v>160000</v>
      </c>
      <c r="M8" s="7">
        <f t="shared" si="7"/>
        <v>1.2722646310432569E-2</v>
      </c>
    </row>
    <row r="9" spans="1:13" x14ac:dyDescent="0.3">
      <c r="A9" s="2" t="s">
        <v>19</v>
      </c>
      <c r="B9" s="3">
        <v>75000</v>
      </c>
      <c r="C9" s="4">
        <v>24</v>
      </c>
      <c r="D9" s="4">
        <v>5</v>
      </c>
      <c r="E9" s="5">
        <f t="shared" si="0"/>
        <v>375000</v>
      </c>
      <c r="F9" s="6">
        <f t="shared" si="1"/>
        <v>120</v>
      </c>
      <c r="G9" s="5">
        <f t="shared" si="2"/>
        <v>3125</v>
      </c>
      <c r="H9" s="3">
        <v>10000</v>
      </c>
      <c r="I9" s="7">
        <f t="shared" si="3"/>
        <v>0.6875</v>
      </c>
      <c r="J9" s="5">
        <f t="shared" si="4"/>
        <v>6875</v>
      </c>
      <c r="K9" s="5">
        <f t="shared" si="5"/>
        <v>1200000</v>
      </c>
      <c r="L9" s="5">
        <f t="shared" si="6"/>
        <v>825000</v>
      </c>
      <c r="M9" s="7">
        <f t="shared" si="7"/>
        <v>5.9637404580152674E-2</v>
      </c>
    </row>
    <row r="10" spans="1:13" x14ac:dyDescent="0.3">
      <c r="A10" s="2" t="s">
        <v>20</v>
      </c>
      <c r="B10" s="3">
        <v>780000</v>
      </c>
      <c r="C10" s="4">
        <v>15</v>
      </c>
      <c r="D10" s="4">
        <v>3</v>
      </c>
      <c r="E10" s="5">
        <f t="shared" si="0"/>
        <v>2340000</v>
      </c>
      <c r="F10" s="6">
        <v>1</v>
      </c>
      <c r="G10" s="5">
        <f t="shared" si="2"/>
        <v>2340000</v>
      </c>
      <c r="H10" s="3">
        <v>100000</v>
      </c>
      <c r="I10" s="7">
        <f t="shared" si="3"/>
        <v>-22.4</v>
      </c>
      <c r="J10" s="5">
        <f t="shared" si="4"/>
        <v>-2240000</v>
      </c>
      <c r="K10" s="5">
        <f t="shared" si="5"/>
        <v>100000</v>
      </c>
      <c r="L10" s="5">
        <f t="shared" si="6"/>
        <v>-2240000</v>
      </c>
      <c r="M10" s="7">
        <f t="shared" si="7"/>
        <v>0.37213740458015265</v>
      </c>
    </row>
    <row r="11" spans="1:13" x14ac:dyDescent="0.3">
      <c r="A11" s="2" t="s">
        <v>21</v>
      </c>
      <c r="B11" s="3">
        <v>190000</v>
      </c>
      <c r="C11" s="4">
        <v>20</v>
      </c>
      <c r="D11" s="4">
        <v>1</v>
      </c>
      <c r="E11" s="5">
        <f t="shared" si="0"/>
        <v>190000</v>
      </c>
      <c r="F11" s="6">
        <f t="shared" si="1"/>
        <v>20</v>
      </c>
      <c r="G11" s="5">
        <f t="shared" si="2"/>
        <v>9500</v>
      </c>
      <c r="H11" s="3">
        <v>20000</v>
      </c>
      <c r="I11" s="7">
        <f t="shared" si="3"/>
        <v>0.52500000000000002</v>
      </c>
      <c r="J11" s="5">
        <f t="shared" si="4"/>
        <v>10500</v>
      </c>
      <c r="K11" s="5">
        <f t="shared" si="5"/>
        <v>400000</v>
      </c>
      <c r="L11" s="5">
        <f t="shared" si="6"/>
        <v>210000</v>
      </c>
      <c r="M11" s="7">
        <f t="shared" si="7"/>
        <v>3.0216284987277353E-2</v>
      </c>
    </row>
    <row r="12" spans="1:13" x14ac:dyDescent="0.3">
      <c r="A12" s="2" t="s">
        <v>22</v>
      </c>
      <c r="B12" s="3">
        <v>68000</v>
      </c>
      <c r="C12" s="4">
        <v>24</v>
      </c>
      <c r="D12" s="4">
        <v>1</v>
      </c>
      <c r="E12" s="5">
        <f t="shared" si="0"/>
        <v>68000</v>
      </c>
      <c r="F12" s="6">
        <f t="shared" si="1"/>
        <v>24</v>
      </c>
      <c r="G12" s="5">
        <f t="shared" si="2"/>
        <v>2833.3333333333335</v>
      </c>
      <c r="H12" s="3">
        <v>10000</v>
      </c>
      <c r="I12" s="7">
        <f t="shared" si="3"/>
        <v>0.71666666666666656</v>
      </c>
      <c r="J12" s="5">
        <f t="shared" si="4"/>
        <v>7166.6666666666661</v>
      </c>
      <c r="K12" s="5">
        <f t="shared" si="5"/>
        <v>240000</v>
      </c>
      <c r="L12" s="5">
        <f t="shared" si="6"/>
        <v>172000</v>
      </c>
      <c r="M12" s="7">
        <f t="shared" si="7"/>
        <v>1.0814249363867684E-2</v>
      </c>
    </row>
    <row r="13" spans="1:13" x14ac:dyDescent="0.3">
      <c r="A13" s="2" t="s">
        <v>23</v>
      </c>
      <c r="B13" s="3">
        <v>170000</v>
      </c>
      <c r="C13" s="4">
        <v>24</v>
      </c>
      <c r="D13" s="4">
        <v>1</v>
      </c>
      <c r="E13" s="5">
        <f t="shared" si="0"/>
        <v>170000</v>
      </c>
      <c r="F13" s="6">
        <f t="shared" si="1"/>
        <v>24</v>
      </c>
      <c r="G13" s="5">
        <f t="shared" si="2"/>
        <v>7083.333333333333</v>
      </c>
      <c r="H13" s="3">
        <v>15000</v>
      </c>
      <c r="I13" s="7">
        <f t="shared" si="3"/>
        <v>0.52777777777777779</v>
      </c>
      <c r="J13" s="5">
        <f t="shared" si="4"/>
        <v>7916.666666666667</v>
      </c>
      <c r="K13" s="5">
        <f t="shared" si="5"/>
        <v>360000</v>
      </c>
      <c r="L13" s="5">
        <f t="shared" si="6"/>
        <v>190000</v>
      </c>
      <c r="M13" s="7">
        <f t="shared" si="7"/>
        <v>2.703562340966921E-2</v>
      </c>
    </row>
    <row r="14" spans="1:13" x14ac:dyDescent="0.3">
      <c r="A14" s="2" t="s">
        <v>24</v>
      </c>
      <c r="B14" s="3">
        <v>130000</v>
      </c>
      <c r="C14" s="4">
        <v>2</v>
      </c>
      <c r="D14" s="4">
        <v>1</v>
      </c>
      <c r="E14" s="5">
        <f t="shared" si="0"/>
        <v>130000</v>
      </c>
      <c r="F14" s="6">
        <f t="shared" si="1"/>
        <v>2</v>
      </c>
      <c r="G14" s="5">
        <f t="shared" si="2"/>
        <v>65000</v>
      </c>
      <c r="H14" s="3">
        <v>100000</v>
      </c>
      <c r="I14" s="7">
        <f t="shared" si="3"/>
        <v>0.35</v>
      </c>
      <c r="J14" s="5">
        <f t="shared" si="4"/>
        <v>35000</v>
      </c>
      <c r="K14" s="5">
        <f t="shared" si="5"/>
        <v>200000</v>
      </c>
      <c r="L14" s="5">
        <f t="shared" si="6"/>
        <v>70000</v>
      </c>
      <c r="M14" s="7">
        <f t="shared" si="7"/>
        <v>2.0674300254452927E-2</v>
      </c>
    </row>
    <row r="15" spans="1:13" x14ac:dyDescent="0.3">
      <c r="A15" s="2" t="s">
        <v>25</v>
      </c>
      <c r="B15" s="3">
        <v>64000</v>
      </c>
      <c r="C15" s="4">
        <v>2</v>
      </c>
      <c r="D15" s="4">
        <v>1</v>
      </c>
      <c r="E15" s="5">
        <f t="shared" si="0"/>
        <v>64000</v>
      </c>
      <c r="F15" s="6">
        <f t="shared" si="1"/>
        <v>2</v>
      </c>
      <c r="G15" s="5">
        <f t="shared" si="2"/>
        <v>32000</v>
      </c>
      <c r="H15" s="3">
        <v>60000</v>
      </c>
      <c r="I15" s="7">
        <f t="shared" si="3"/>
        <v>0.46666666666666667</v>
      </c>
      <c r="J15" s="5">
        <f t="shared" si="4"/>
        <v>28000</v>
      </c>
      <c r="K15" s="5">
        <f t="shared" si="5"/>
        <v>120000</v>
      </c>
      <c r="L15" s="5">
        <f t="shared" si="6"/>
        <v>56000</v>
      </c>
      <c r="M15" s="7">
        <f t="shared" si="7"/>
        <v>1.0178117048346057E-2</v>
      </c>
    </row>
    <row r="16" spans="1:13" x14ac:dyDescent="0.3">
      <c r="A16" s="2" t="s">
        <v>26</v>
      </c>
      <c r="B16" s="3">
        <v>102000</v>
      </c>
      <c r="C16" s="4">
        <v>5</v>
      </c>
      <c r="D16" s="4">
        <v>1</v>
      </c>
      <c r="E16" s="5">
        <f t="shared" si="0"/>
        <v>102000</v>
      </c>
      <c r="F16" s="6">
        <f t="shared" si="1"/>
        <v>5</v>
      </c>
      <c r="G16" s="5">
        <f t="shared" si="2"/>
        <v>20400</v>
      </c>
      <c r="H16" s="3">
        <v>250000</v>
      </c>
      <c r="I16" s="7">
        <f t="shared" si="3"/>
        <v>0.91839999999999999</v>
      </c>
      <c r="J16" s="5">
        <f t="shared" si="4"/>
        <v>229600</v>
      </c>
      <c r="K16" s="5">
        <f t="shared" si="5"/>
        <v>1250000</v>
      </c>
      <c r="L16" s="5">
        <f t="shared" si="6"/>
        <v>1148000</v>
      </c>
      <c r="M16" s="7">
        <f t="shared" si="7"/>
        <v>1.6221374045801526E-2</v>
      </c>
    </row>
    <row r="17" spans="1:13" x14ac:dyDescent="0.3">
      <c r="A17" s="2" t="s">
        <v>27</v>
      </c>
      <c r="B17" s="3">
        <v>190000</v>
      </c>
      <c r="C17" s="4">
        <v>2</v>
      </c>
      <c r="D17" s="4">
        <v>1</v>
      </c>
      <c r="E17" s="5">
        <f t="shared" si="0"/>
        <v>190000</v>
      </c>
      <c r="F17" s="6">
        <f t="shared" si="1"/>
        <v>2</v>
      </c>
      <c r="G17" s="5">
        <f t="shared" si="2"/>
        <v>95000</v>
      </c>
      <c r="H17" s="3">
        <v>180000</v>
      </c>
      <c r="I17" s="7">
        <f t="shared" si="3"/>
        <v>0.47222222222222221</v>
      </c>
      <c r="J17" s="5">
        <f t="shared" si="4"/>
        <v>85000</v>
      </c>
      <c r="K17" s="5">
        <f t="shared" si="5"/>
        <v>360000</v>
      </c>
      <c r="L17" s="5">
        <f t="shared" si="6"/>
        <v>170000</v>
      </c>
      <c r="M17" s="7">
        <f t="shared" si="7"/>
        <v>3.0216284987277353E-2</v>
      </c>
    </row>
    <row r="18" spans="1:13" x14ac:dyDescent="0.3">
      <c r="A18" s="2" t="s">
        <v>28</v>
      </c>
      <c r="B18" s="3">
        <v>190000</v>
      </c>
      <c r="C18" s="4">
        <v>2</v>
      </c>
      <c r="D18" s="4">
        <v>1</v>
      </c>
      <c r="E18" s="5">
        <f t="shared" si="0"/>
        <v>190000</v>
      </c>
      <c r="F18" s="6">
        <f t="shared" si="1"/>
        <v>2</v>
      </c>
      <c r="G18" s="5">
        <f t="shared" si="2"/>
        <v>95000</v>
      </c>
      <c r="H18" s="3">
        <v>180000</v>
      </c>
      <c r="I18" s="7">
        <f t="shared" si="3"/>
        <v>0.47222222222222221</v>
      </c>
      <c r="J18" s="5">
        <f t="shared" si="4"/>
        <v>85000</v>
      </c>
      <c r="K18" s="5">
        <f t="shared" si="5"/>
        <v>360000</v>
      </c>
      <c r="L18" s="5">
        <f t="shared" si="6"/>
        <v>170000</v>
      </c>
      <c r="M18" s="7">
        <f t="shared" si="7"/>
        <v>3.0216284987277353E-2</v>
      </c>
    </row>
    <row r="19" spans="1:13" x14ac:dyDescent="0.3">
      <c r="A19" s="2" t="s">
        <v>29</v>
      </c>
      <c r="B19" s="3">
        <v>95000</v>
      </c>
      <c r="C19" s="4">
        <v>24</v>
      </c>
      <c r="D19" s="4">
        <v>1</v>
      </c>
      <c r="E19" s="5">
        <f t="shared" si="0"/>
        <v>95000</v>
      </c>
      <c r="F19" s="6">
        <f t="shared" si="1"/>
        <v>24</v>
      </c>
      <c r="G19" s="5">
        <f t="shared" si="2"/>
        <v>3958.3333333333335</v>
      </c>
      <c r="H19" s="3">
        <v>10000</v>
      </c>
      <c r="I19" s="7">
        <f t="shared" si="3"/>
        <v>0.60416666666666663</v>
      </c>
      <c r="J19" s="5">
        <f t="shared" si="4"/>
        <v>6041.6666666666661</v>
      </c>
      <c r="K19" s="5">
        <f t="shared" si="5"/>
        <v>240000</v>
      </c>
      <c r="L19" s="5">
        <f t="shared" si="6"/>
        <v>145000</v>
      </c>
      <c r="M19" s="7">
        <f t="shared" si="7"/>
        <v>1.5108142493638677E-2</v>
      </c>
    </row>
    <row r="20" spans="1:13" x14ac:dyDescent="0.3">
      <c r="A20" s="2" t="s">
        <v>30</v>
      </c>
      <c r="B20" s="3">
        <v>400000</v>
      </c>
      <c r="C20" s="4">
        <v>2</v>
      </c>
      <c r="D20" s="4">
        <v>1</v>
      </c>
      <c r="E20" s="5">
        <f t="shared" si="0"/>
        <v>400000</v>
      </c>
      <c r="F20" s="6">
        <f t="shared" si="1"/>
        <v>2</v>
      </c>
      <c r="G20" s="5">
        <f t="shared" si="2"/>
        <v>200000</v>
      </c>
      <c r="H20" s="3">
        <v>350000</v>
      </c>
      <c r="I20" s="7">
        <f t="shared" si="3"/>
        <v>0.42857142857142855</v>
      </c>
      <c r="J20" s="5">
        <f t="shared" si="4"/>
        <v>150000</v>
      </c>
      <c r="K20" s="5">
        <f t="shared" si="5"/>
        <v>700000</v>
      </c>
      <c r="L20" s="5">
        <f t="shared" si="6"/>
        <v>300000</v>
      </c>
      <c r="M20" s="7">
        <f t="shared" si="7"/>
        <v>6.3613231552162849E-2</v>
      </c>
    </row>
    <row r="21" spans="1:13" x14ac:dyDescent="0.3">
      <c r="A21" s="2" t="s">
        <v>31</v>
      </c>
      <c r="B21" s="3">
        <v>24000</v>
      </c>
      <c r="C21" s="4">
        <v>24</v>
      </c>
      <c r="D21" s="4">
        <v>19</v>
      </c>
      <c r="E21" s="5">
        <f t="shared" si="0"/>
        <v>456000</v>
      </c>
      <c r="F21" s="6">
        <f t="shared" si="1"/>
        <v>456</v>
      </c>
      <c r="G21" s="5">
        <f t="shared" si="2"/>
        <v>1000</v>
      </c>
      <c r="H21" s="3">
        <v>10000</v>
      </c>
      <c r="I21" s="7">
        <f t="shared" si="3"/>
        <v>0.9</v>
      </c>
      <c r="J21" s="5">
        <f t="shared" si="4"/>
        <v>9000</v>
      </c>
      <c r="K21" s="5">
        <f t="shared" si="5"/>
        <v>4560000</v>
      </c>
      <c r="L21" s="5">
        <f t="shared" si="6"/>
        <v>4104000</v>
      </c>
      <c r="M21" s="7">
        <f t="shared" si="7"/>
        <v>7.2519083969465645E-2</v>
      </c>
    </row>
    <row r="22" spans="1:13" x14ac:dyDescent="0.3">
      <c r="A22" s="8" t="s">
        <v>32</v>
      </c>
      <c r="B22" s="9"/>
      <c r="C22" s="9"/>
      <c r="D22" s="9"/>
      <c r="E22" s="10">
        <f>SUM(E5:E21)</f>
        <v>6288000</v>
      </c>
      <c r="F22" s="11">
        <f>SUM(F5:F21)</f>
        <v>1080</v>
      </c>
      <c r="G22" s="9"/>
      <c r="H22" s="9"/>
      <c r="I22" s="12">
        <f>IFERROR((K22-E22)/K22,0)</f>
        <v>0.59872367581365671</v>
      </c>
      <c r="J22" s="9"/>
      <c r="K22" s="10">
        <f>SUM(K5:K21)</f>
        <v>15670000</v>
      </c>
      <c r="L22" s="10">
        <f>SUM(L5:L21)</f>
        <v>9382000</v>
      </c>
      <c r="M22" s="12">
        <f>SUM(M5:M21)</f>
        <v>0.99999999999999978</v>
      </c>
    </row>
    <row r="25" spans="1:13" ht="15.55" x14ac:dyDescent="0.3">
      <c r="A25" s="13" t="s">
        <v>33</v>
      </c>
      <c r="B25" s="14"/>
      <c r="C25" s="14"/>
    </row>
    <row r="26" spans="1:13" x14ac:dyDescent="0.3">
      <c r="A26" s="15" t="s">
        <v>34</v>
      </c>
      <c r="B26" s="14"/>
      <c r="C26" s="14"/>
      <c r="D26" s="18">
        <f>E22</f>
        <v>6288000</v>
      </c>
      <c r="E26" s="17"/>
    </row>
    <row r="27" spans="1:13" x14ac:dyDescent="0.3">
      <c r="A27" s="15" t="s">
        <v>35</v>
      </c>
      <c r="B27" s="14"/>
      <c r="C27" s="14"/>
      <c r="D27" s="18">
        <f>K22</f>
        <v>15670000</v>
      </c>
      <c r="E27" s="17"/>
    </row>
    <row r="28" spans="1:13" x14ac:dyDescent="0.3">
      <c r="A28" s="15" t="s">
        <v>36</v>
      </c>
      <c r="B28" s="14"/>
      <c r="C28" s="14"/>
      <c r="D28" s="18">
        <f>L22</f>
        <v>9382000</v>
      </c>
      <c r="E28" s="17"/>
    </row>
    <row r="29" spans="1:13" x14ac:dyDescent="0.3">
      <c r="A29" s="15" t="s">
        <v>37</v>
      </c>
      <c r="B29" s="14"/>
      <c r="C29" s="14"/>
      <c r="D29" s="21">
        <f>I22</f>
        <v>0.59872367581365671</v>
      </c>
      <c r="E29" s="17"/>
    </row>
    <row r="30" spans="1:13" x14ac:dyDescent="0.3">
      <c r="A30" s="15" t="s">
        <v>38</v>
      </c>
      <c r="B30" s="14"/>
      <c r="C30" s="14"/>
      <c r="D30" s="21">
        <f>L22/E22</f>
        <v>1.4920483460559797</v>
      </c>
      <c r="E30" s="17"/>
    </row>
    <row r="31" spans="1:13" x14ac:dyDescent="0.3">
      <c r="A31" s="15" t="s">
        <v>39</v>
      </c>
      <c r="B31" s="14"/>
      <c r="C31" s="14"/>
      <c r="D31" s="16">
        <f>F22</f>
        <v>1080</v>
      </c>
      <c r="E31" s="17"/>
    </row>
    <row r="32" spans="1:13" x14ac:dyDescent="0.3">
      <c r="A32" s="15" t="s">
        <v>40</v>
      </c>
      <c r="B32" s="14"/>
      <c r="C32" s="14"/>
      <c r="D32" s="19" t="str">
        <f>INDEX(A5:A21,MATCH(MAX(I5:I21),I5:I21,0))</f>
        <v>Four Loko</v>
      </c>
      <c r="E32" s="17"/>
    </row>
    <row r="33" spans="1:5" x14ac:dyDescent="0.3">
      <c r="A33" s="15" t="s">
        <v>41</v>
      </c>
      <c r="B33" s="14"/>
      <c r="C33" s="14"/>
      <c r="D33" s="19" t="str">
        <f>INDEX(A5:A21,MATCH(MAX(L5:L21),L5:L21,0))</f>
        <v>Agua</v>
      </c>
      <c r="E33" s="17"/>
    </row>
  </sheetData>
  <mergeCells count="19">
    <mergeCell ref="A1:M1"/>
    <mergeCell ref="A31:C31"/>
    <mergeCell ref="D28:E28"/>
    <mergeCell ref="A30:C30"/>
    <mergeCell ref="D30:E30"/>
    <mergeCell ref="D29:E29"/>
    <mergeCell ref="D26:E26"/>
    <mergeCell ref="A2:M2"/>
    <mergeCell ref="A25:C25"/>
    <mergeCell ref="A27:C27"/>
    <mergeCell ref="D31:E31"/>
    <mergeCell ref="A26:C26"/>
    <mergeCell ref="A33:C33"/>
    <mergeCell ref="A32:C32"/>
    <mergeCell ref="D27:E27"/>
    <mergeCell ref="D32:E32"/>
    <mergeCell ref="A29:C29"/>
    <mergeCell ref="A28:C28"/>
    <mergeCell ref="D33:E3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DAVID MONT PEDROZO</cp:lastModifiedBy>
  <dcterms:created xsi:type="dcterms:W3CDTF">2026-09-05T04:48:08Z</dcterms:created>
  <dcterms:modified xsi:type="dcterms:W3CDTF">2026-09-05T05:41:07Z</dcterms:modified>
</cp:coreProperties>
</file>